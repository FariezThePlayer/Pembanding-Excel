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/>
  </bookViews>
  <sheets>
    <sheet name="DATA" sheetId="1" r:id="rId1"/>
    <sheet name="BPCY" sheetId="3" r:id="rId2"/>
    <sheet name="REF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<sst xmlns="http://schemas.openxmlformats.org/spreadsheetml/2006/main" count="170" uniqueCount="160">
  <si>
    <t>28-404-01</t>
  </si>
  <si>
    <t>28-404-02</t>
  </si>
  <si>
    <t>28-404-03</t>
  </si>
  <si>
    <t>28-404-04</t>
  </si>
  <si>
    <t>28-404-05</t>
  </si>
  <si>
    <t>28-404-06</t>
  </si>
  <si>
    <t>28-404-07</t>
  </si>
  <si>
    <t>28-404-08</t>
  </si>
  <si>
    <t>28-404-09</t>
  </si>
  <si>
    <t>28-404-10</t>
  </si>
  <si>
    <t>28-404-11</t>
  </si>
  <si>
    <t>28-401-01</t>
  </si>
  <si>
    <t>28-401-06</t>
  </si>
  <si>
    <t>28-401-03</t>
  </si>
  <si>
    <t>28-401-04</t>
  </si>
  <si>
    <t>28-401-05</t>
  </si>
  <si>
    <t>28-406-01</t>
  </si>
  <si>
    <t>28-405-01</t>
  </si>
  <si>
    <t>22-405-01</t>
  </si>
  <si>
    <t>22-405-02</t>
  </si>
  <si>
    <t>22-101-01</t>
  </si>
  <si>
    <t>22-101-02</t>
  </si>
  <si>
    <t>22-102-01</t>
  </si>
  <si>
    <t>22-102-02</t>
  </si>
  <si>
    <t>28-406-02</t>
  </si>
  <si>
    <t>27-102-03</t>
  </si>
  <si>
    <t>Bunga Tabungan dan Bunga Deposito yang Ditempatkan di Dalam Negeri yang Dananya Bersumber Selain dari Devisa Hasil Ekspor (DHE)</t>
  </si>
  <si>
    <t>Bunga Deposito yang Ditempatkan di Dalam Negeri (mata uang IDR bersumber dari DHE tenor 1 bulan)</t>
  </si>
  <si>
    <t>Bunga Deposito yang Ditempatkan di Dalam Negeri (mata uang IDR bersumber dari DHE tenor 3 bulan)</t>
  </si>
  <si>
    <t>Bunga Deposito yang Ditempatkan di Dalam Negeri (mata uang IDR bersumber dari DHE tenor 6 bulan atau lebih)</t>
  </si>
  <si>
    <t>Bunga Deposito yang Ditempatkan di Dalam Negeri (mata uang USD bersumber dari DHE tenor 1 bulan)</t>
  </si>
  <si>
    <t>Bunga Deposito yang Ditempatkan di Dalam Negeri (mata uang USD bersumber dari DHE tenor 3 bulan)</t>
  </si>
  <si>
    <t>Bunga Deposito yang Ditempatkan di Dalam Negeri (mata uang USD bersumber dari DHE tenor 6 bulan)</t>
  </si>
  <si>
    <t>Bunga Deposito yang Ditempatkan di Dalam Negeri (mata uang USD bersumber dari DHE tenor lebih 6 bulan)</t>
  </si>
  <si>
    <t>Bunga Deposito/Tabungan yang Ditempatkan di Luar Negeri Melalui Bank yang Didirikan atau Bertempat Kedudukan di Indonesia atau Cabang Bank Luar Negeri di Indonesia</t>
  </si>
  <si>
    <t>Diskonto Sertifikat Bank Indonesia</t>
  </si>
  <si>
    <t>Jasa Giro</t>
  </si>
  <si>
    <t>Bunga Obligasi, Surat Utang Negara, atau Obligasi Daerah yang Diterima Wajib Pajak Dalam Negeri dan Bentuk Usaha Tetap.</t>
  </si>
  <si>
    <t>Bunga Obligasi yang Diterima Wajib Pajak Dalam Negeri dan Bentuk Usaha Tetap yang diadministrasikan oleh BI</t>
  </si>
  <si>
    <t>Diskonto Surat Perbendaharaan Negara yang Diterima Wajib Pajak Dalam Negeri dan Bentuk Usaha Tetap</t>
  </si>
  <si>
    <t>Diskonto Surat Perbendaharaan Negara yang Diterima Wajib Pajak Penduduk/Berkedudukan di Luar Negeri</t>
  </si>
  <si>
    <t>Transaksi Penjualan Saham di Bursa Efek (Bukan Saham Pendiri)</t>
  </si>
  <si>
    <t>Hadiah Undian</t>
  </si>
  <si>
    <t>Penghasilan Sehubungan dengan Aset Kripto yang dipungut oleh Penyelenggara Perdagangan Melalui Sistem Elektronik yang Merupakan Pedagang Fisik Aset Kripto</t>
  </si>
  <si>
    <t>Penghasilan Sehubungan dengan Aset Kripto yang dipungut oleh Penyelenggara Perdagangan Melalui Sistem Elektronik yang Bukan Merupakan Pedagang Fisik Aset Kripto</t>
  </si>
  <si>
    <t>Penghasilan Sehubungan dengan Transaksi Penjualan Barang, Penyerahan Jasa, dan/atau Persewaan serta Penghasilan Lain Sehubungan dengan Penggunaan Harta yang Dilakukan Melalui Pihak Lain dalam Sistem Informasi Pengadaan Pemerintah</t>
  </si>
  <si>
    <t>Penghasilan yang Diterima atau Diperoleh Pedagang Dalam Negeri Penjualan Barang, Penyerahan Jasa, dan/atau Persewaan serta Penghasilan Lain Sehubungan dengan Penggunaan Harta yang Dilakukan Melalui Perdagangan Melalui Sistem Elektronik</t>
  </si>
  <si>
    <t>Transaksi Penjualan Saham di Bursa Efek (Bukan Saham Pendiri) oleh WPLN</t>
  </si>
  <si>
    <t>Bunga Obligasi (PPh Pasal 26)</t>
  </si>
  <si>
    <t>Kode Objek Pajak</t>
  </si>
  <si>
    <t>Nama Objek Pajak</t>
  </si>
  <si>
    <t>Tarif</t>
  </si>
  <si>
    <t>Kode Fasilitas</t>
  </si>
  <si>
    <t>Nama Fasilitas</t>
  </si>
  <si>
    <t>N/A</t>
  </si>
  <si>
    <t>Tanpa Fasilitas</t>
  </si>
  <si>
    <t>DTP</t>
  </si>
  <si>
    <t>PPh Ditanggung Pemerintah (DTP)</t>
  </si>
  <si>
    <t>ETC</t>
  </si>
  <si>
    <t>Fasilitas Lainnya</t>
  </si>
  <si>
    <t>Kode Dokumen</t>
  </si>
  <si>
    <t>Nama Dokumen Referensi</t>
  </si>
  <si>
    <t>TaxInvoice</t>
  </si>
  <si>
    <t>CommercialInvoice</t>
  </si>
  <si>
    <t>Contract</t>
  </si>
  <si>
    <t>PaymentProof</t>
  </si>
  <si>
    <t>StatementLetter</t>
  </si>
  <si>
    <t>TaxExIntDep</t>
  </si>
  <si>
    <t>Surat Keterangan Bebas (SKB) Pemotongan PPh atas Pengalihan Hak atas Tanah dan Bangunan</t>
  </si>
  <si>
    <t>NPWP Pemotong</t>
  </si>
  <si>
    <t>Masa Pajak</t>
  </si>
  <si>
    <t>Tahun Pajak</t>
  </si>
  <si>
    <t>Fasilitas</t>
  </si>
  <si>
    <t>DPP</t>
  </si>
  <si>
    <t>Jenis Dok. Referensi</t>
  </si>
  <si>
    <t>Nomor Dok. Referensi</t>
  </si>
  <si>
    <t>Tanggal Dok. Referensi</t>
  </si>
  <si>
    <t>ID TKU Pemotong</t>
  </si>
  <si>
    <t>Tanggal Pemotongan</t>
  </si>
  <si>
    <t>Kolom pada excel</t>
  </si>
  <si>
    <t>Kolom pada xml</t>
  </si>
  <si>
    <t>Petunjuk pengisian</t>
  </si>
  <si>
    <t>Contoh pengisian</t>
  </si>
  <si>
    <t>Keterangan tambahan</t>
  </si>
  <si>
    <t>TIN</t>
  </si>
  <si>
    <t>Diisi dengan NPWP pemotong/pemungut</t>
  </si>
  <si>
    <t>1234567890123456</t>
  </si>
  <si>
    <t>TaxPeriodMonth</t>
  </si>
  <si>
    <t>Diisi dengan masa pajak pemotongan/pemungutan</t>
  </si>
  <si>
    <t>1</t>
  </si>
  <si>
    <t>TaxPeriodYear</t>
  </si>
  <si>
    <t>2025</t>
  </si>
  <si>
    <t>TaxCertificate</t>
  </si>
  <si>
    <t>Diisi dengan fasilitas perpajakan yang digunakan</t>
  </si>
  <si>
    <t>TaxObjectCode</t>
  </si>
  <si>
    <t>Diisi dengan kode objek pajak</t>
  </si>
  <si>
    <t>TaxBase</t>
  </si>
  <si>
    <t>Diisi dengan dasar pemotongan pajak</t>
  </si>
  <si>
    <t>Rate</t>
  </si>
  <si>
    <t>Diisi dengan tarif yang sesuai dengan referensi kode objek pajak</t>
  </si>
  <si>
    <t>Saat di export ke xml, excel secara otomatis akan merubah menjadi format desimal menggunakan titik, contoh : 0.25</t>
  </si>
  <si>
    <t>Document</t>
  </si>
  <si>
    <t>Diisi dengan jenis dokumen yang menjadi dasar pemotongan/pemungutan</t>
  </si>
  <si>
    <t>DocumentNumber</t>
  </si>
  <si>
    <t>Diisi dengan nomor dokumen dasar pemotongan/pemungutan</t>
  </si>
  <si>
    <t>0100012292489165</t>
  </si>
  <si>
    <t>DocumentDate</t>
  </si>
  <si>
    <t>Diisi dengan tanggal dokumen dasar pemotongan/pemungutan</t>
  </si>
  <si>
    <t>Saat di export ke xml, excel secara otomatis akan merubah menjadi format YYYY-MM-DD</t>
  </si>
  <si>
    <t>IDPlaceOfBusinessActivity</t>
  </si>
  <si>
    <t>Diisi dengan ID TKU pemotong/pemungut</t>
  </si>
  <si>
    <t>1234567890123456789012</t>
  </si>
  <si>
    <t>WithholdingDate</t>
  </si>
  <si>
    <t>Diisi dengan tanggal pemotongan/pemungutan</t>
  </si>
  <si>
    <t>Announcement</t>
  </si>
  <si>
    <t>Decree</t>
  </si>
  <si>
    <t>Other</t>
  </si>
  <si>
    <t>CurrentAccount</t>
  </si>
  <si>
    <t>DeedOfEngagement</t>
  </si>
  <si>
    <t>DeedOfGeneral</t>
  </si>
  <si>
    <t>OtherFacilityDoc</t>
  </si>
  <si>
    <t>TaxRegulationDoc</t>
  </si>
  <si>
    <t>TradeConfirmation</t>
  </si>
  <si>
    <t>Pengumuman</t>
  </si>
  <si>
    <t>Surat Tagihan</t>
  </si>
  <si>
    <t>Kontrak</t>
  </si>
  <si>
    <t>Akta Perjanjian</t>
  </si>
  <si>
    <t>Akta RUPS</t>
  </si>
  <si>
    <t>Lainnya</t>
  </si>
  <si>
    <t>Bukti Pembayaran</t>
  </si>
  <si>
    <t>Surat Pernyataan</t>
  </si>
  <si>
    <t>Faktur Pajak</t>
  </si>
  <si>
    <t>Trade Confirmation</t>
  </si>
  <si>
    <t>Dokumen Perpajakan</t>
  </si>
  <si>
    <t>Dokumen Fasilitas Lainnya</t>
  </si>
  <si>
    <t>Validasi</t>
  </si>
  <si>
    <t>NPWP Pemotong harus sama dengan NPWP login</t>
  </si>
  <si>
    <t>Tanggal pemotongan tidak boleh lebih rendah dari masa/tahun pajak bukti potong</t>
  </si>
  <si>
    <t>Jika Document = TaxInvoice, maka document number wajib nomor faktur pajak yang valid</t>
  </si>
  <si>
    <t>Jika Document = TaxInvoice, maka document date wajib sesuai dengan tanggal faktur pajak</t>
  </si>
  <si>
    <t>Jika menggunakan fasilitas perpajakan lainnya, tarif dapat diisi tidak sesuai dengan referensi kode objek pajak</t>
  </si>
  <si>
    <t>NPWP Pemotong*</t>
  </si>
  <si>
    <t>Masa Pajak*</t>
  </si>
  <si>
    <t>Tahun Pajak*</t>
  </si>
  <si>
    <t>Fasilitas*</t>
  </si>
  <si>
    <t>Kode Objek Pajak*</t>
  </si>
  <si>
    <t>DPP*</t>
  </si>
  <si>
    <t>Tarif*</t>
  </si>
  <si>
    <t>Jenis Dok. Referensi*</t>
  </si>
  <si>
    <t>Nomor Dok. Referensi*</t>
  </si>
  <si>
    <t>Tanggal Dok. Referensi*</t>
  </si>
  <si>
    <t>ID TKU Pemotong*</t>
  </si>
  <si>
    <t>Tanggal Pemotongan*</t>
  </si>
  <si>
    <t>* Wajib diisi</t>
  </si>
  <si>
    <t>Bunga Obligasi yang Diterima Wajib Pajak Dalam Negeri dan Bentuk Usaha Tetap</t>
  </si>
  <si>
    <t>Penghasilan yang Diterima atau Diperoleh Pedagang Dalam Negeri Atas Penjualan Barang, Penyerahan Jasa, dan/atau Persewaan serta Penghasilan Lain Sehubungan dengan Penggunaan Harta yang Dilakukan Melalui Perdagangan Melalui Sistem Elektronik</t>
  </si>
  <si>
    <t>22-405-04</t>
  </si>
  <si>
    <t>Penghasilan Sehubungan dengan Aset Kripto yang dipungut oleh Penyelenggara Perdagangan Melalui Sistem Elektronik Dalam Negeri yang Merupakan Pedagang Aset Keuangan Digital</t>
  </si>
  <si>
    <t>22-405-05</t>
  </si>
  <si>
    <t>Penghasilan Sehubungan dengan Aset Kripto yang dipungut oleh Penyelenggara Perdagangan Melalui Sistem Elektronik Luar Negeri yang Merupakan Pemungut Pajak Penghasilan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</si>
</sst>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49" fontId="0" fillId="0" borderId="0" xfId="0" quotePrefix="1" applyNumberFormat="1"/>
    <xf numFmtId="0" fontId="0" fillId="0" borderId="0" xfId="0" quotePrefix="1"/>
    <xf numFmtId="49" fontId="0" fillId="0" borderId="0" xfId="0" applyNumberFormat="1"/>
    <xf numFmtId="14" fontId="0" fillId="0" borderId="0" xfId="0" applyNumberFormat="1"/>
    <xf numFmtId="0" fontId="2" fillId="0" borderId="0" xfId="1" applyFont="1"/>
    <xf numFmtId="0" fontId="3" fillId="0" borderId="0" xfId="1"/>
    <xf numFmtId="0" fontId="3" fillId="0" borderId="0" xfId="1" quotePrefix="1" applyAlignment="1">
      <alignment horizontal="right"/>
    </xf>
    <xf numFmtId="0" fontId="3" fillId="0" borderId="0" xfId="1" applyAlignment="1">
      <alignment horizontal="right"/>
    </xf>
    <xf numFmtId="14" fontId="3" fillId="0" borderId="0" xfId="1" quotePrefix="1" applyNumberFormat="1" applyAlignment="1">
      <alignment horizontal="right"/>
    </xf>
    <xf numFmtId="0" fontId="3" fillId="0" borderId="0" xfId="1" quotePrefix="1" applyAlignment="1">
      <alignment horizontal="left"/>
    </xf>
    <xf numFmtId="0" fontId="3" fillId="0" borderId="0" xfId="1" applyAlignment="1">
      <alignment horizontal="left"/>
    </xf>
    <xf numFmtId="0" fontId="1" fillId="0" borderId="0" xfId="1" quotePrefix="1" applyFont="1" applyAlignment="1">
      <alignment horizontal="left"/>
    </xf>
    <xf numFmtId="14" fontId="1" fillId="0" borderId="0" xfId="1" quotePrefix="1" applyNumberFormat="1" applyFont="1" applyAlignment="1">
      <alignment horizontal="left"/>
    </xf>
    <xf numFmtId="0" fontId="1" fillId="0" borderId="0" xfId="1" applyFont="1"/>
    <xf numFmtId="0" fontId="4" fillId="0" borderId="1" xfId="0" applyFon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 id="CUMULATIVEPAYMENT" elementFormDefault="qualified" attributeFormDefault="unqualified">
      <xsd:simpleType name="TinType">
        <xsd:restriction base="xsd:string">
          <xsd:pattern value="[0-9]{15,16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TaxCertificateType" final="restriction">
        <xsd:restriction base="xsd:string">
          <xsd:enumeration value="N/A"/>
          <xsd:enumeration value="TaxExIntDep"/>
          <xsd:enumeration value="DTP"/>
          <xsd:enumeration value="ETC"/>
        </xsd:restriction>
      </xsd:simpleType>
      <xsd:simpleType name="DocType" final="restriction">
        <xsd:restriction base="xsd:string">
          <xsd:enumeration value="TaxInvoice"/>
          <xsd:enumeration value="CommercialInvoice"/>
          <xsd:enumeration value="Announchment"/>
          <xsd:enumeration value="Contract"/>
          <xsd:enumeration value="PaymentProof"/>
          <xsd:enumeration value="DeedofEngangement"/>
          <xsd:enumeration value="DeedofGeneralMeetingStakeholder"/>
          <xsd:enumeration value="StatementLetter"/>
          <xsd:enumeration value="BankAccountNumber"/>
        </xsd:restriction>
      </xsd:simpleType>
      <xsd:element name="CYBulk" type="CYBulkType"/>
      <xsd:complexType name="CYBulkType">
        <xsd:sequence>
          <xsd:element name="TIN" type="TinType" maxOccurs="1" minOccurs="1"/>
          <xsd:element name="ListOfCY" minOccurs="1" maxOccurs="1" type="ListOfCYType"/>
        </xsd:sequence>
      </xsd:complexType>
      <xsd:complexType name="ListOfCYType">
        <xsd:sequence>
          <xsd:element name="CY" type="CYType" maxOccurs="unbounded" minOccurs="1"/>
        </xsd:sequence>
      </xsd:complexType>
      <xsd:complexType name="CYType">
        <xsd:sequence>
          <xsd:element name="TaxPeriodMonth" type="xsd:integer" nillable="false"/>
          <xsd:element name="TaxPeriodYear" type="xsd:integer" nillable="false"/>
          <xsd:element name="TaxCertificate" type="TaxCertificateType"/>
          <xsd:element name="TaxObjectCode" type="NonEmptyStringType"/>
          <xsd:element name="TaxBase" type="TaxBaseRateType"/>
          <xsd:element name="Rate" type="TaxType"/>
          <xsd:element name="Document" type="DocType"/>
          <xsd:element name="DocumentNumber" type="NonEmptyStringType"/>
          <xsd:element name="DocumentDate" type="xsd:date" nillable="true"/>
          <xsd:element name="IDPlaceOfBusinessActivity" type="xsd:string" nillable="true"/>
          <xsd:element name="WithholdingDate" type="xsd:date"/>
        </xsd:sequence>
      </xsd:complexType>
    </xsd:schema>
  </Schema>
  <Map ID="1" Name="CYBulk_Map" RootElement="CYBulk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xmlMaps" Target="xmlMap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B3:L17" tableType="xml" totalsRowShown="0">
  <autoFilter ref="B3:L17"/>
  <tableColumns count="11">
    <tableColumn id="1" uniqueName="TaxPeriodMonth" name="Masa Pajak">
      <xmlColumnPr mapId="1" xpath="/CYBulk/ListOfCY/CY/TaxPeriodMonth" xmlDataType="integer"/>
    </tableColumn>
    <tableColumn id="2" uniqueName="TaxPeriodYear" name="Tahun Pajak">
      <xmlColumnPr mapId="1" xpath="/CYBulk/ListOfCY/CY/TaxPeriodYear" xmlDataType="integer"/>
    </tableColumn>
    <tableColumn id="3" uniqueName="TaxCertificate" name="Fasilitas">
      <xmlColumnPr mapId="1" xpath="/CYBulk/ListOfCY/CY/TaxCertificate" xmlDataType="string"/>
    </tableColumn>
    <tableColumn id="4" uniqueName="TaxObjectCode" name="Kode Objek Pajak" dataDxfId="3">
      <xmlColumnPr mapId="1" xpath="/CYBulk/ListOfCY/CY/TaxObjectCode" xmlDataType="string"/>
    </tableColumn>
    <tableColumn id="25" uniqueName="TaxBase" name="DPP" dataDxfId="2">
      <xmlColumnPr mapId="1" xpath="/CYBulk/ListOfCY/CY/TaxBase" xmlDataType="decimal"/>
    </tableColumn>
    <tableColumn id="12" uniqueName="Rate" name="Tarif">
      <calculatedColumnFormula>VLOOKUP(E4,REF!$A$2:$C$50,3,0)</calculatedColumnFormula>
      <xmlColumnPr mapId="1" xpath="/CYBulk/ListOfCY/CY/Rate" xmlDataType="decimal"/>
    </tableColumn>
    <tableColumn id="13" uniqueName="Document" name="Jenis Dok. Referensi" dataDxfId="1">
      <xmlColumnPr mapId="1" xpath="/CYBulk/ListOfCY/CY/Document" xmlDataType="string"/>
    </tableColumn>
    <tableColumn id="14" uniqueName="DocumentNumber" name="Nomor Dok. Referensi">
      <xmlColumnPr mapId="1" xpath="/CYBulk/ListOfCY/CY/DocumentNumber" xmlDataType="string"/>
    </tableColumn>
    <tableColumn id="15" uniqueName="DocumentDate" name="Tanggal Dok. Referensi">
      <xmlColumnPr mapId="1" xpath="/CYBulk/ListOfCY/CY/DocumentDate" xmlDataType="date"/>
    </tableColumn>
    <tableColumn id="16" uniqueName="IDPlaceOfBusinessActivity" name="ID TKU Pemotong" dataDxfId="0">
      <xmlColumnPr mapId="1" xpath="/CYBulk/ListOfCY/CY/IDPlaceOfBusinessActivity" xmlDataType="string"/>
    </tableColumn>
    <tableColumn id="17" uniqueName="WithholdingDate" name="Tanggal Pemotongan">
      <xmlColumnPr mapId="1" xpath="/CYBulk/ListOfCY/CY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3" r="C1" connectionId="0">
    <xmlCellPr id="1" uniqueName="TIN">
      <xmlPr mapId="1" xpath="/CY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C1" sqref="C1"/>
    </sheetView>
  </sheetViews>
  <sheetFormatPr defaultRowHeight="15"/>
  <cols>
    <col min="2" max="4" width="11" customWidth="1"/>
    <col min="5" max="5" width="18.85546875" bestFit="1" customWidth="1"/>
    <col min="6" max="6" width="18.85546875" customWidth="1"/>
    <col min="7" max="7" width="12" customWidth="1"/>
    <col min="8" max="8" width="21.42578125" bestFit="1" customWidth="1"/>
    <col min="9" max="10" width="12" customWidth="1"/>
    <col min="11" max="11" width="23.42578125" bestFit="1" customWidth="1"/>
    <col min="12" max="12" width="12" customWidth="1"/>
  </cols>
  <sheetData>
    <row r="1" spans="1:15">
      <c r="A1" s="16" t="s">
        <v>69</v>
      </c>
      <c r="B1" s="16"/>
      <c r="C1" s="1"/>
    </row>
    <row r="3" spans="1:15">
      <c r="B3" t="s">
        <v>70</v>
      </c>
      <c r="C3" t="s">
        <v>71</v>
      </c>
      <c r="D3" t="s">
        <v>72</v>
      </c>
      <c r="E3" t="s">
        <v>49</v>
      </c>
      <c r="F3" t="s">
        <v>73</v>
      </c>
      <c r="G3" t="s">
        <v>51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</row>
    <row r="4" spans="1:15">
      <c r="B4" s="2"/>
      <c r="D4" s="3"/>
      <c r="E4" s="3"/>
      <c r="G4" t="e">
        <f>VLOOKUP(E4,REF!$A$2:$C$50,3,0)</f>
        <v>#N/A</v>
      </c>
      <c r="H4" s="3"/>
      <c r="I4" s="3"/>
      <c r="J4" s="4"/>
      <c r="K4" s="1"/>
      <c r="L4" s="4"/>
      <c r="O4" s="15"/>
    </row>
    <row r="5" spans="1:15">
      <c r="B5" s="2"/>
      <c r="D5" s="3"/>
      <c r="E5" s="3"/>
      <c r="G5" t="e">
        <f>VLOOKUP(E5,REF!$A$2:$C$50,3,0)</f>
        <v>#N/A</v>
      </c>
      <c r="H5" s="3"/>
      <c r="I5" s="3"/>
      <c r="J5" s="4"/>
      <c r="K5" s="1"/>
      <c r="L5" s="4"/>
      <c r="O5" s="15"/>
    </row>
    <row r="6" spans="1:15">
      <c r="B6" s="2"/>
      <c r="D6" s="3"/>
      <c r="E6" s="3"/>
      <c r="G6" t="e">
        <f>VLOOKUP(E6,REF!$A$2:$C$50,3,0)</f>
        <v>#N/A</v>
      </c>
      <c r="H6" s="3"/>
      <c r="I6" s="3"/>
      <c r="J6" s="4"/>
      <c r="K6" s="1"/>
      <c r="L6" s="4"/>
      <c r="O6" s="15"/>
    </row>
    <row r="7" spans="1:15">
      <c r="B7" s="2"/>
      <c r="D7" s="3"/>
      <c r="E7" s="3"/>
      <c r="G7" t="e">
        <f>VLOOKUP(E7,REF!$A$2:$C$50,3,0)</f>
        <v>#N/A</v>
      </c>
      <c r="H7" s="3"/>
      <c r="I7" s="3"/>
      <c r="J7" s="4"/>
      <c r="K7" s="1"/>
      <c r="L7" s="4"/>
      <c r="O7" s="15"/>
    </row>
    <row r="8" spans="1:15">
      <c r="B8" s="2"/>
      <c r="D8" s="3"/>
      <c r="E8" s="3"/>
      <c r="G8" t="e">
        <f>VLOOKUP(E8,REF!$A$2:$C$50,3,0)</f>
        <v>#N/A</v>
      </c>
      <c r="H8" s="3"/>
      <c r="I8" s="3"/>
      <c r="J8" s="4"/>
      <c r="K8" s="1"/>
      <c r="L8" s="4"/>
      <c r="O8" s="15"/>
    </row>
    <row r="9" spans="1:15">
      <c r="B9" s="2"/>
      <c r="D9" s="3"/>
      <c r="E9" s="3"/>
      <c r="G9" t="e">
        <f>VLOOKUP(E9,REF!$A$2:$C$50,3,0)</f>
        <v>#N/A</v>
      </c>
      <c r="H9" s="3"/>
      <c r="I9" s="3"/>
      <c r="J9" s="4"/>
      <c r="K9" s="1"/>
      <c r="L9" s="4"/>
      <c r="O9" s="15"/>
    </row>
    <row r="10" spans="1:15">
      <c r="B10" s="2"/>
      <c r="D10" s="3"/>
      <c r="E10" s="3"/>
      <c r="G10" t="e">
        <f>VLOOKUP(E10,REF!$A$2:$C$50,3,0)</f>
        <v>#N/A</v>
      </c>
      <c r="H10" s="3"/>
      <c r="I10" s="3"/>
      <c r="J10" s="4"/>
      <c r="K10" s="1"/>
      <c r="L10" s="4"/>
      <c r="O10" s="15"/>
    </row>
    <row r="11" spans="1:15">
      <c r="B11" s="2"/>
      <c r="D11" s="3"/>
      <c r="E11" s="3"/>
      <c r="G11" t="e">
        <f>VLOOKUP(E11,REF!$A$2:$C$50,3,0)</f>
        <v>#N/A</v>
      </c>
      <c r="H11" s="3"/>
      <c r="I11" s="3"/>
      <c r="J11" s="4"/>
      <c r="K11" s="1"/>
      <c r="L11" s="4"/>
      <c r="O11" s="15"/>
    </row>
    <row r="12" spans="1:15">
      <c r="B12" s="2"/>
      <c r="D12" s="3"/>
      <c r="E12" s="3"/>
      <c r="G12" t="e">
        <f>VLOOKUP(E12,REF!$A$2:$C$50,3,0)</f>
        <v>#N/A</v>
      </c>
      <c r="H12" s="3"/>
      <c r="I12" s="3"/>
      <c r="J12" s="4"/>
      <c r="K12" s="1"/>
      <c r="L12" s="4"/>
      <c r="O12" s="15"/>
    </row>
    <row r="13" spans="1:15">
      <c r="B13" s="2"/>
      <c r="D13" s="3"/>
      <c r="E13" s="3"/>
      <c r="G13" t="e">
        <f>VLOOKUP(E13,REF!$A$2:$C$50,3,0)</f>
        <v>#N/A</v>
      </c>
      <c r="H13" s="3"/>
      <c r="I13" s="3"/>
      <c r="J13" s="4"/>
      <c r="K13" s="1"/>
      <c r="L13" s="4"/>
      <c r="O13" s="15"/>
    </row>
    <row r="14" spans="1:15">
      <c r="B14" s="2"/>
      <c r="D14" s="3"/>
      <c r="E14" s="3"/>
      <c r="G14" t="e">
        <f>VLOOKUP(E14,REF!$A$2:$C$50,3,0)</f>
        <v>#N/A</v>
      </c>
      <c r="H14" s="3"/>
      <c r="I14" s="3"/>
      <c r="J14" s="4"/>
      <c r="K14" s="1"/>
      <c r="L14" s="4"/>
      <c r="O14" s="15"/>
    </row>
    <row r="15" spans="1:15">
      <c r="B15" s="2"/>
      <c r="D15" s="3"/>
      <c r="E15" s="3"/>
      <c r="G15" t="e">
        <f>VLOOKUP(E15,REF!$A$2:$C$50,3,0)</f>
        <v>#N/A</v>
      </c>
      <c r="H15" s="3"/>
      <c r="I15" s="3"/>
      <c r="J15" s="4"/>
      <c r="K15" s="1"/>
      <c r="L15" s="4"/>
      <c r="O15" s="15"/>
    </row>
    <row r="16" spans="1:15">
      <c r="B16" s="2"/>
      <c r="D16" s="3"/>
      <c r="E16" s="3"/>
      <c r="G16" t="e">
        <f>VLOOKUP(E16,REF!$A$2:$C$50,3,0)</f>
        <v>#N/A</v>
      </c>
      <c r="H16" s="3"/>
      <c r="I16" s="3"/>
      <c r="J16" s="4"/>
      <c r="K16" s="1"/>
      <c r="L16" s="4"/>
      <c r="O16" s="15"/>
    </row>
    <row r="17" spans="2:15">
      <c r="B17" s="2"/>
      <c r="D17" s="3"/>
      <c r="E17" s="3"/>
      <c r="G17" t="e">
        <f>VLOOKUP(E17,REF!$A$2:$C$50,3,0)</f>
        <v>#N/A</v>
      </c>
      <c r="H17" s="3"/>
      <c r="I17" s="3"/>
      <c r="J17" s="4"/>
      <c r="K17" s="1"/>
      <c r="L17" s="4"/>
      <c r="O17" s="15"/>
    </row>
  </sheetData>
  <mergeCells count="1">
    <mergeCell ref="A1:B1"/>
  </mergeCell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REF!$F$2:$F$5</xm:f>
          </x14:formula1>
          <xm:sqref>D4:D17</xm:sqref>
        </x14:dataValidation>
        <x14:dataValidation type="list" allowBlank="1" showInputMessage="1" showErrorMessage="1">
          <x14:formula1>
            <xm:f>REF!$F$9:$F$28</xm:f>
          </x14:formula1>
          <xm:sqref>H4:H17</xm:sqref>
        </x14:dataValidation>
        <x14:dataValidation type="list" allowBlank="1" showInputMessage="1">
          <x14:formula1>
            <xm:f>REF!$A$2:$A$50</xm:f>
          </x14:formula1>
          <xm:sqref>E4:E17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16" sqref="A16"/>
    </sheetView>
  </sheetViews>
  <sheetFormatPr defaultRowHeight="15"/>
  <cols>
    <col min="1" max="1" width="21.5703125" style="6" bestFit="1" customWidth="1"/>
    <col min="2" max="2" width="24.5703125" style="6" bestFit="1" customWidth="1"/>
    <col min="3" max="3" width="68.7109375" style="6" bestFit="1" customWidth="1"/>
    <col min="4" max="4" width="23.42578125" style="6" bestFit="1" customWidth="1"/>
    <col min="5" max="5" width="100.7109375" style="6" customWidth="1"/>
    <col min="6" max="6" width="106.28515625" style="6" bestFit="1" customWidth="1"/>
    <col min="7" max="16384" width="9.140625" style="6"/>
  </cols>
  <sheetData>
    <row r="1" spans="1:6">
      <c r="A1" s="5" t="s">
        <v>79</v>
      </c>
      <c r="B1" s="5" t="s">
        <v>80</v>
      </c>
      <c r="C1" s="5" t="s">
        <v>81</v>
      </c>
      <c r="D1" s="5" t="s">
        <v>82</v>
      </c>
      <c r="E1" s="5" t="s">
        <v>135</v>
      </c>
      <c r="F1" s="5" t="s">
        <v>83</v>
      </c>
    </row>
    <row r="2" spans="1:6">
      <c r="A2" s="14" t="s">
        <v>141</v>
      </c>
      <c r="B2" s="6" t="s">
        <v>84</v>
      </c>
      <c r="C2" s="6" t="s">
        <v>85</v>
      </c>
      <c r="D2" s="7" t="s">
        <v>86</v>
      </c>
      <c r="E2" s="12" t="s">
        <v>136</v>
      </c>
    </row>
    <row r="3" spans="1:6">
      <c r="A3" s="14" t="s">
        <v>142</v>
      </c>
      <c r="B3" s="6" t="s">
        <v>87</v>
      </c>
      <c r="C3" s="6" t="s">
        <v>88</v>
      </c>
      <c r="D3" s="7" t="s">
        <v>89</v>
      </c>
      <c r="E3" s="10"/>
    </row>
    <row r="4" spans="1:6">
      <c r="A4" s="14" t="s">
        <v>143</v>
      </c>
      <c r="B4" s="6" t="s">
        <v>90</v>
      </c>
      <c r="C4" s="6" t="s">
        <v>88</v>
      </c>
      <c r="D4" s="7" t="s">
        <v>91</v>
      </c>
      <c r="E4" s="10"/>
    </row>
    <row r="5" spans="1:6">
      <c r="A5" s="14" t="s">
        <v>144</v>
      </c>
      <c r="B5" s="6" t="s">
        <v>92</v>
      </c>
      <c r="C5" s="6" t="s">
        <v>93</v>
      </c>
      <c r="D5" s="7" t="s">
        <v>58</v>
      </c>
      <c r="E5" s="10"/>
    </row>
    <row r="6" spans="1:6">
      <c r="A6" s="14" t="s">
        <v>145</v>
      </c>
      <c r="B6" s="6" t="s">
        <v>94</v>
      </c>
      <c r="C6" s="6" t="s">
        <v>95</v>
      </c>
      <c r="D6" s="7" t="s">
        <v>2</v>
      </c>
      <c r="E6" s="10"/>
    </row>
    <row r="7" spans="1:6">
      <c r="A7" s="14" t="s">
        <v>146</v>
      </c>
      <c r="B7" s="6" t="s">
        <v>96</v>
      </c>
      <c r="C7" s="6" t="s">
        <v>97</v>
      </c>
      <c r="D7" s="8">
        <v>10000000000</v>
      </c>
      <c r="E7" s="11"/>
    </row>
    <row r="8" spans="1:6">
      <c r="A8" s="14" t="s">
        <v>147</v>
      </c>
      <c r="B8" s="6" t="s">
        <v>98</v>
      </c>
      <c r="C8" s="6" t="s">
        <v>99</v>
      </c>
      <c r="D8" s="7">
        <v>0.25</v>
      </c>
      <c r="E8" s="12" t="s">
        <v>140</v>
      </c>
      <c r="F8" s="6" t="s">
        <v>100</v>
      </c>
    </row>
    <row r="9" spans="1:6">
      <c r="A9" s="14" t="s">
        <v>148</v>
      </c>
      <c r="B9" s="6" t="s">
        <v>101</v>
      </c>
      <c r="C9" s="6" t="s">
        <v>102</v>
      </c>
      <c r="D9" s="8" t="s">
        <v>62</v>
      </c>
      <c r="E9" s="11"/>
    </row>
    <row r="10" spans="1:6">
      <c r="A10" s="14" t="s">
        <v>149</v>
      </c>
      <c r="B10" s="6" t="s">
        <v>103</v>
      </c>
      <c r="C10" s="6" t="s">
        <v>104</v>
      </c>
      <c r="D10" s="7" t="s">
        <v>105</v>
      </c>
      <c r="E10" s="12" t="s">
        <v>138</v>
      </c>
    </row>
    <row r="11" spans="1:6">
      <c r="A11" s="14" t="s">
        <v>150</v>
      </c>
      <c r="B11" s="6" t="s">
        <v>106</v>
      </c>
      <c r="C11" s="6" t="s">
        <v>107</v>
      </c>
      <c r="D11" s="9">
        <v>45671</v>
      </c>
      <c r="E11" s="12" t="s">
        <v>139</v>
      </c>
      <c r="F11" s="6" t="s">
        <v>108</v>
      </c>
    </row>
    <row r="12" spans="1:6">
      <c r="A12" s="14" t="s">
        <v>151</v>
      </c>
      <c r="B12" s="6" t="s">
        <v>109</v>
      </c>
      <c r="C12" s="6" t="s">
        <v>110</v>
      </c>
      <c r="D12" s="7" t="s">
        <v>111</v>
      </c>
      <c r="E12" s="10"/>
    </row>
    <row r="13" spans="1:6">
      <c r="A13" s="14" t="s">
        <v>152</v>
      </c>
      <c r="B13" s="6" t="s">
        <v>112</v>
      </c>
      <c r="C13" s="6" t="s">
        <v>113</v>
      </c>
      <c r="D13" s="9">
        <v>45704</v>
      </c>
      <c r="E13" s="13" t="s">
        <v>137</v>
      </c>
      <c r="F13" s="6" t="s">
        <v>108</v>
      </c>
    </row>
    <row r="14" spans="1:6">
      <c r="D14" s="8"/>
      <c r="E14" s="8"/>
    </row>
    <row r="16" spans="1:6">
      <c r="A16" s="14" t="s">
        <v>153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A17" sqref="A17"/>
    </sheetView>
  </sheetViews>
  <sheetFormatPr defaultRowHeight="15"/>
  <cols>
    <col min="1" max="1" width="16.5703125" bestFit="1" customWidth="1"/>
    <col min="2" max="2" width="140.42578125" customWidth="1"/>
    <col min="6" max="6" width="19.140625" bestFit="1" customWidth="1"/>
  </cols>
  <sheetData>
    <row r="1" spans="1:7">
      <c r="A1" t="s">
        <v>49</v>
      </c>
      <c r="B1" t="s">
        <v>50</v>
      </c>
      <c r="C1" t="s">
        <v>51</v>
      </c>
      <c r="F1" t="s">
        <v>52</v>
      </c>
      <c r="G1" t="s">
        <v>53</v>
      </c>
    </row>
    <row r="2" spans="1:7">
      <c r="A2" t="s">
        <v>0</v>
      </c>
      <c r="B2" t="s">
        <v>26</v>
      </c>
      <c r="C2">
        <v>20</v>
      </c>
      <c r="F2" t="s">
        <v>54</v>
      </c>
      <c r="G2" t="s">
        <v>55</v>
      </c>
    </row>
    <row r="3" spans="1:7">
      <c r="A3" t="s">
        <v>9</v>
      </c>
      <c r="B3" t="s">
        <v>35</v>
      </c>
      <c r="C3">
        <v>20</v>
      </c>
      <c r="F3" t="s">
        <v>67</v>
      </c>
      <c r="G3" t="s">
        <v>68</v>
      </c>
    </row>
    <row r="4" spans="1:7">
      <c r="A4" t="s">
        <v>10</v>
      </c>
      <c r="B4" t="s">
        <v>36</v>
      </c>
      <c r="C4">
        <v>20</v>
      </c>
      <c r="F4" t="s">
        <v>56</v>
      </c>
      <c r="G4" t="s">
        <v>57</v>
      </c>
    </row>
    <row r="5" spans="1:7">
      <c r="A5" t="s">
        <v>11</v>
      </c>
      <c r="B5" t="s">
        <v>37</v>
      </c>
      <c r="C5">
        <v>15</v>
      </c>
      <c r="F5" t="s">
        <v>58</v>
      </c>
      <c r="G5" t="s">
        <v>59</v>
      </c>
    </row>
    <row r="6" spans="1:7">
      <c r="A6" t="s">
        <v>12</v>
      </c>
      <c r="B6" t="s">
        <v>154</v>
      </c>
      <c r="C6">
        <v>10</v>
      </c>
    </row>
    <row r="7" spans="1:7">
      <c r="A7" t="s">
        <v>13</v>
      </c>
      <c r="B7" t="s">
        <v>38</v>
      </c>
      <c r="C7">
        <v>10</v>
      </c>
    </row>
    <row r="8" spans="1:7">
      <c r="A8" t="s">
        <v>14</v>
      </c>
      <c r="B8" t="s">
        <v>39</v>
      </c>
      <c r="C8">
        <v>20</v>
      </c>
      <c r="F8" t="s">
        <v>60</v>
      </c>
      <c r="G8" t="s">
        <v>61</v>
      </c>
    </row>
    <row r="9" spans="1:7">
      <c r="A9" t="s">
        <v>15</v>
      </c>
      <c r="B9" t="s">
        <v>40</v>
      </c>
      <c r="C9">
        <v>20</v>
      </c>
      <c r="F9" t="s">
        <v>114</v>
      </c>
      <c r="G9" t="s">
        <v>123</v>
      </c>
    </row>
    <row r="10" spans="1:7">
      <c r="A10" t="s">
        <v>16</v>
      </c>
      <c r="B10" t="s">
        <v>41</v>
      </c>
      <c r="C10">
        <v>0.1</v>
      </c>
      <c r="F10" t="s">
        <v>63</v>
      </c>
      <c r="G10" t="s">
        <v>124</v>
      </c>
    </row>
    <row r="11" spans="1:7">
      <c r="A11" t="s">
        <v>17</v>
      </c>
      <c r="B11" t="s">
        <v>42</v>
      </c>
      <c r="C11">
        <v>25</v>
      </c>
      <c r="F11" t="s">
        <v>64</v>
      </c>
      <c r="G11" t="s">
        <v>125</v>
      </c>
    </row>
    <row r="12" spans="1:7">
      <c r="A12" t="s">
        <v>1</v>
      </c>
      <c r="B12" t="s">
        <v>27</v>
      </c>
      <c r="C12">
        <v>7.5</v>
      </c>
      <c r="F12" t="s">
        <v>117</v>
      </c>
      <c r="G12" t="s">
        <v>36</v>
      </c>
    </row>
    <row r="13" spans="1:7">
      <c r="A13" t="s">
        <v>18</v>
      </c>
      <c r="B13" t="s">
        <v>43</v>
      </c>
      <c r="C13">
        <v>0.1</v>
      </c>
      <c r="F13" t="s">
        <v>115</v>
      </c>
      <c r="G13" t="s">
        <v>115</v>
      </c>
    </row>
    <row r="14" spans="1:7">
      <c r="A14" t="s">
        <v>19</v>
      </c>
      <c r="B14" t="s">
        <v>44</v>
      </c>
      <c r="C14">
        <v>0.2</v>
      </c>
      <c r="F14" t="s">
        <v>118</v>
      </c>
      <c r="G14" t="s">
        <v>126</v>
      </c>
    </row>
    <row r="15" spans="1:7">
      <c r="A15" t="s">
        <v>20</v>
      </c>
      <c r="B15" t="s">
        <v>45</v>
      </c>
      <c r="C15">
        <v>0.5</v>
      </c>
      <c r="F15" t="s">
        <v>119</v>
      </c>
      <c r="G15" t="s">
        <v>127</v>
      </c>
    </row>
    <row r="16" spans="1:7">
      <c r="A16" t="s">
        <v>21</v>
      </c>
      <c r="B16" t="s">
        <v>45</v>
      </c>
      <c r="C16">
        <v>0.5</v>
      </c>
      <c r="F16" t="s">
        <v>116</v>
      </c>
      <c r="G16" t="s">
        <v>128</v>
      </c>
    </row>
    <row r="17" spans="1:12">
      <c r="A17" t="s">
        <v>22</v>
      </c>
      <c r="B17" t="s">
        <v>46</v>
      </c>
      <c r="C17">
        <v>0.5</v>
      </c>
      <c r="F17" t="s">
        <v>120</v>
      </c>
      <c r="G17" t="s">
        <v>134</v>
      </c>
    </row>
    <row r="18" spans="1:12">
      <c r="A18" t="s">
        <v>23</v>
      </c>
      <c r="B18" t="s">
        <v>155</v>
      </c>
      <c r="C18">
        <v>0.5</v>
      </c>
      <c r="F18" t="s">
        <v>65</v>
      </c>
      <c r="G18" t="s">
        <v>129</v>
      </c>
    </row>
    <row r="19" spans="1:12">
      <c r="A19" t="s">
        <v>2</v>
      </c>
      <c r="B19" t="s">
        <v>28</v>
      </c>
      <c r="C19">
        <v>5</v>
      </c>
      <c r="F19" t="s">
        <v>66</v>
      </c>
      <c r="G19" t="s">
        <v>130</v>
      </c>
    </row>
    <row r="20" spans="1:12">
      <c r="A20" t="s">
        <v>24</v>
      </c>
      <c r="B20" t="s">
        <v>47</v>
      </c>
      <c r="C20">
        <v>0.1</v>
      </c>
      <c r="F20" t="s">
        <v>62</v>
      </c>
      <c r="G20" t="s">
        <v>131</v>
      </c>
    </row>
    <row r="21" spans="1:12">
      <c r="A21" t="s">
        <v>25</v>
      </c>
      <c r="B21" t="s">
        <v>48</v>
      </c>
      <c r="C21">
        <v>10</v>
      </c>
      <c r="F21" t="s">
        <v>121</v>
      </c>
      <c r="G21" t="s">
        <v>133</v>
      </c>
    </row>
    <row r="22" spans="1:12">
      <c r="A22" t="s">
        <v>156</v>
      </c>
      <c r="B22" t="s">
        <v>157</v>
      </c>
      <c r="C22">
        <v>0.21</v>
      </c>
      <c r="F22" t="s">
        <v>122</v>
      </c>
      <c r="G22" t="s">
        <v>132</v>
      </c>
    </row>
    <row r="23" spans="1:12">
      <c r="A23" t="s">
        <v>158</v>
      </c>
      <c r="B23" t="s">
        <v>159</v>
      </c>
      <c r="C23">
        <v>0.21</v>
      </c>
    </row>
    <row r="24" spans="1:12">
      <c r="A24" t="s">
        <v>3</v>
      </c>
      <c r="B24" t="s">
        <v>29</v>
      </c>
      <c r="C24">
        <v>0</v>
      </c>
      <c r="K24" s="4"/>
    </row>
    <row r="25" spans="1:12">
      <c r="A25" t="s">
        <v>4</v>
      </c>
      <c r="B25" t="s">
        <v>30</v>
      </c>
      <c r="C25">
        <v>10</v>
      </c>
      <c r="L25" s="4"/>
    </row>
    <row r="26" spans="1:12">
      <c r="A26" t="s">
        <v>5</v>
      </c>
      <c r="B26" t="s">
        <v>31</v>
      </c>
      <c r="C26">
        <v>7.5</v>
      </c>
      <c r="L26" s="4"/>
    </row>
    <row r="27" spans="1:12">
      <c r="A27" t="s">
        <v>6</v>
      </c>
      <c r="B27" t="s">
        <v>32</v>
      </c>
      <c r="C27">
        <v>2.5</v>
      </c>
      <c r="L27" s="4"/>
    </row>
    <row r="28" spans="1:12">
      <c r="A28" t="s">
        <v>7</v>
      </c>
      <c r="B28" t="s">
        <v>33</v>
      </c>
      <c r="C28">
        <v>0</v>
      </c>
      <c r="L28" s="4"/>
    </row>
    <row r="29" spans="1:12">
      <c r="A29" t="s">
        <v>8</v>
      </c>
      <c r="B29" t="s">
        <v>34</v>
      </c>
      <c r="C29">
        <v>20</v>
      </c>
      <c r="L29" s="4"/>
    </row>
    <row r="30" spans="1:12">
      <c r="L30" s="4"/>
    </row>
    <row r="31" spans="1:12">
      <c r="L31" s="4"/>
    </row>
    <row r="32" spans="1:12">
      <c r="L32" s="4"/>
    </row>
    <row r="33" spans="12:12">
      <c r="L33" s="4"/>
    </row>
    <row r="34" spans="12:12">
      <c r="L34" s="4"/>
    </row>
    <row r="35" spans="12:12">
      <c r="L35" s="4"/>
    </row>
    <row r="36" spans="12:12">
      <c r="L3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1E8282-F82A-41B6-AFFF-C7BA703EEA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B0E209-A48B-47FA-97A7-177D180184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A20BDB5-239E-4E20-980E-27F308DC9B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BPCY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Frederick Fabbi</cp:lastModifiedBy>
  <dcterms:created xsi:type="dcterms:W3CDTF">2015-06-05T18:17:20Z</dcterms:created>
  <dcterms:modified xsi:type="dcterms:W3CDTF">2026-08-14T02:12:34Z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