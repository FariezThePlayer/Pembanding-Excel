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 activeTab="1"/>
  </bookViews>
  <sheets>
    <sheet name="BPMP" sheetId="3" r:id="rId1"/>
    <sheet name="DATA" sheetId="1" r:id="rId2"/>
    <sheet name="REF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L10" i="1" s="1"/>
  <c r="R9" i="1"/>
  <c r="L9" i="1" s="1"/>
  <c r="R8" i="1"/>
  <c r="L8" i="1" s="1"/>
  <c r="R7" i="1"/>
  <c r="L7" i="1" s="1"/>
  <c r="R6" i="1"/>
  <c r="L6" i="1" s="1"/>
  <c r="R5" i="1"/>
  <c r="L5" i="1" s="1"/>
  <c r="Q10" i="1"/>
  <c r="Q9" i="1"/>
  <c r="Q8" i="1"/>
  <c r="Q7" i="1"/>
  <c r="Q6" i="1"/>
  <c r="Q5" i="1"/>
  <c r="P10" i="1"/>
  <c r="P9" i="1"/>
  <c r="P8" i="1"/>
  <c r="P7" i="1"/>
  <c r="P6" i="1"/>
  <c r="P5" i="1"/>
</calcChain>
</file>

<file path=xl/sharedStrings.xml><?xml version="1.0" encoding="utf-8"?>
<sst xmlns="http://schemas.openxmlformats.org/spreadsheetml/2006/main" count="114" uniqueCount="86">
  <si>
    <t>NPWP Pemotong</t>
  </si>
  <si>
    <t>Masa Pajak</t>
  </si>
  <si>
    <t>Tahun Pajak</t>
  </si>
  <si>
    <t>Status Pegawai</t>
  </si>
  <si>
    <t>NPWP/NIK/TIN</t>
  </si>
  <si>
    <t>Nomor Passport</t>
  </si>
  <si>
    <t>Status</t>
  </si>
  <si>
    <t>Posisi</t>
  </si>
  <si>
    <t>Sertifikat/Fasilitas</t>
  </si>
  <si>
    <t>Kode Objek Pajak</t>
  </si>
  <si>
    <t>Penghasilan Kotor</t>
  </si>
  <si>
    <t>Tarif</t>
  </si>
  <si>
    <t>ID TKU</t>
  </si>
  <si>
    <t>Tgl Pemotongan</t>
  </si>
  <si>
    <t>TER A</t>
  </si>
  <si>
    <t>TER B</t>
  </si>
  <si>
    <t>TER C</t>
  </si>
  <si>
    <t>Resident</t>
  </si>
  <si>
    <t>TK/0</t>
  </si>
  <si>
    <t>N/A</t>
  </si>
  <si>
    <t>21-100-01</t>
  </si>
  <si>
    <t>K/2</t>
  </si>
  <si>
    <t>DTP</t>
  </si>
  <si>
    <t>K/3</t>
  </si>
  <si>
    <t>ETC</t>
  </si>
  <si>
    <t>TK/1</t>
  </si>
  <si>
    <t>TK/3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</si>
  <si>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</si>
  <si>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</si>
  <si>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</si>
  <si>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</si>
  <si>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</si>
  <si>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</si>
  <si>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TIN</t>
  </si>
  <si>
    <t>Diisi dengan NPWP pemotong</t>
  </si>
  <si>
    <t>NPWP Pemotong harus sama dengan NPWP login</t>
  </si>
  <si>
    <t>TaxPeriodMonth</t>
  </si>
  <si>
    <t>Diisi dengan masa pajak pemotongan</t>
  </si>
  <si>
    <t>TaxPeriodYear</t>
  </si>
  <si>
    <t>CounterpartOpt</t>
  </si>
  <si>
    <t>Diisi dengan status kewarganegaraan pegawai (karyawan asing atau tidak)</t>
  </si>
  <si>
    <t>CounterpartTin</t>
  </si>
  <si>
    <t>Diisi dengan NIK pegawai tetap</t>
  </si>
  <si>
    <t>0987654321098765</t>
  </si>
  <si>
    <t>NPWP/NIK wajib valid</t>
  </si>
  <si>
    <t>CounterpartPassport</t>
  </si>
  <si>
    <t>Diisi dengan nomor paspor pegawai tetap (jika karyawan asing)</t>
  </si>
  <si>
    <t>StatusTaxExemption</t>
  </si>
  <si>
    <t>Diisi dengan status PTKP penerima penghasilan</t>
  </si>
  <si>
    <t>Position</t>
  </si>
  <si>
    <t>Diisi dengan posisi pegawai tetap</t>
  </si>
  <si>
    <t>Staff</t>
  </si>
  <si>
    <t>TaxCertificate</t>
  </si>
  <si>
    <t>Diisi dengan fasilitas perpajakan yang digunakan</t>
  </si>
  <si>
    <t>TaxObjectCode</t>
  </si>
  <si>
    <t>Diisi dengan kode objek pajak</t>
  </si>
  <si>
    <t>Gross</t>
  </si>
  <si>
    <t>Diisi dengan penghasilan bruto</t>
  </si>
  <si>
    <t>Rate</t>
  </si>
  <si>
    <t>Diisi dengan tarif yang sesuai dengan referensi kode objek pajak</t>
  </si>
  <si>
    <t>Jika menggunakan fasilitas perpajakan lainnya, tarif dapat diisi tidak sesuai dengan referensi kode objek pajak</t>
  </si>
  <si>
    <t>Jika tarif menggunakan koma, di export ke xml, excel secara otomatis akan merubah menjadi format desimal menggunakan titik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</si>
  <si>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</si>
  <si>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</si>
  <si>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</si>
  <si>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</si>
  <si>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</si>
  <si>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Tanggal pemotongan tidak boleh lebih rendah dari masa/tahun pajak bukti potong</t>
  </si>
  <si>
    <t>Saat di export ke xml, excel secara otomatis akan merubah menjadi format YYYY-MM-DD</t>
  </si>
  <si>
    <t>Nama Objek Pajak</t>
  </si>
  <si>
    <t>Penghasilan yang diterima oleh Pegawai Tetap termasuk Pegawai Negeri Sipil, Anggota Tentara Nasional Indonesia, Anggota Polisi Republik Indonesia atau Pejabat Negara</t>
  </si>
  <si>
    <t>Foreign</t>
  </si>
  <si>
    <t>21-100-02</t>
  </si>
  <si>
    <t>Penghasilan yang diterima oleh Penerima Pensiun secara  teratur</t>
  </si>
  <si>
    <t>TK/2</t>
  </si>
  <si>
    <t>21-100-32</t>
  </si>
  <si>
    <t>Penghasilan yang diterima oleh Pegawai tetap yang menerima fasilitas di daerah tertentu</t>
  </si>
  <si>
    <t>K/0</t>
  </si>
  <si>
    <t>K/1</t>
  </si>
  <si>
    <t>HB/0</t>
  </si>
  <si>
    <t>HB/1</t>
  </si>
  <si>
    <t>HB/2</t>
  </si>
  <si>
    <t>HB/3</t>
  </si>
  <si>
    <t>`123`123`123`123`</t>
  </si>
  <si>
    <t>idk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</si>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</sst>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0" fillId="0" borderId="0" xfId="0" quotePrefix="1"/>
    <xf numFmtId="0" fontId="3" fillId="0" borderId="0" xfId="1" quotePrefix="1" applyAlignment="1">
      <alignment horizontal="left"/>
    </xf>
    <xf numFmtId="14" fontId="3" fillId="0" borderId="0" xfId="1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2" applyNumberFormat="1" applyFont="1"/>
    <xf numFmtId="0" fontId="0" fillId="0" borderId="0" xfId="0" applyNumberFormat="1"/>
  </cellXfs>
  <cellStyles count="3">
    <cellStyle name="Comma" xfId="2" builtinId="3"/>
    <cellStyle name="Normal" xfId="0" builtinId="0"/>
    <cellStyle name="Normal 2" xfId="1"/>
  </cellStyles>
  <dxfs count="8">
    <dxf>
      <numFmt numFmtId="165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MONTHLYPAYROLL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erpartOptType" final="restriction">
        <xsd:restriction base="xsd:string">
          <xsd:enumeration value="Resident"/>
          <xsd:enumeration value="Foreign"/>
        </xsd:restriction>
      </xsd:simpleType>
      <xsd:simpleType name="CountryType">
        <xsd:restriction base="xsd:string">
          <xsd:pattern value="[a-zA-Z]{3}"/>
        </xsd:restriction>
      </xsd:simpleType>
      <xsd:simpleType name="TaxCertificateType" final="restriction">
        <xsd:restriction base="xsd:string">
          <xsd:enumeration value="N/A"/>
          <xsd:enumeration value="DTP"/>
          <xsd:enumeration value="ECT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MmPayrollBulk" type="MmPayrollBulkType"/>
      <xsd:complexType name="MmPayrollBulkType">
        <xsd:sequence>
          <xsd:element name="TIN" type="TinType" maxOccurs="1" minOccurs="1"/>
          <xsd:element name="ListOfMmPayroll" minOccurs="1" maxOccurs="1" type="ListOfMmPayrollType"/>
        </xsd:sequence>
      </xsd:complexType>
      <xsd:complexType name="ListOfMmPayrollType">
        <xsd:sequence>
          <xsd:element name="MmPayroll" type="MmPayrollType" maxOccurs="unbounded" minOccurs="1"/>
        </xsd:sequence>
      </xsd:complexType>
      <xsd:simpleType name="Ptkp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complexType name="MmPayrollType">
        <xsd:sequence>
          <xsd:element name="TaxPeriodMonth" type="xsd:integer" nillable="false"/>
          <xsd:element name="TaxPeriodYear" type="xsd:integer" nillable="false"/>
          <xsd:element name="CounterpartOpt" type="CounterpartOptType"/>
          <xsd:element name="CounterpartPassport" type="xsd:string" nillable="true"/>
          <xsd:element name="CounterpartTin" type="xsd:string" nillable="true"/>
          <xsd:element name="StatusTaxExemption" type="PtkpType"/>
          <xsd:element name="Position" type="xsd:string" nillable="false"/>
          <xsd:element name="TaxCertificate" type="TaxCertificateType"/>
          <xsd:element name="TaxObjectCode" type="NonEmptyStringType"/>
          <xsd:element name="Gross" type="TaxBaseRateType"/>
          <xsd:element name="Rate" type="TaxType"/>
          <xsd:element name="IDPlaceOfBusinessActivity" type="xsd:string"/>
          <xsd:element name="WithholdingDate" type="xsd:date"/>
        </xsd:sequence>
      </xsd:complexType>
    </xsd:schema>
  </Schema>
  <Map ID="6" Name="MmPayrollBulk_Map" RootElement="MmPayroll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B4:N10" tableType="xml" totalsRowShown="0">
  <autoFilter ref="B4:N10"/>
  <tableColumns count="13">
    <tableColumn id="1" uniqueName="TaxPeriodMonth" name="Masa Pajak">
      <xmlColumnPr mapId="6" xpath="/MmPayrollBulk/ListOfMmPayroll/MmPayroll/TaxPeriodMonth" xmlDataType="integer"/>
    </tableColumn>
    <tableColumn id="2" uniqueName="TaxPeriodYear" name="Tahun Pajak">
      <xmlColumnPr mapId="6" xpath="/MmPayrollBulk/ListOfMmPayroll/MmPayroll/TaxPeriodYear" xmlDataType="integer"/>
    </tableColumn>
    <tableColumn id="3" uniqueName="CounterpartOpt" name="Status Pegawai" dataDxfId="7">
      <xmlColumnPr mapId="6" xpath="/MmPayrollBulk/ListOfMmPayroll/MmPayroll/CounterpartOpt" xmlDataType="string"/>
    </tableColumn>
    <tableColumn id="4" uniqueName="CounterpartTin" name="NPWP/NIK/TIN" dataDxfId="6">
      <xmlColumnPr mapId="6" xpath="/MmPayrollBulk/ListOfMmPayroll/MmPayroll/CounterpartTin" xmlDataType="string"/>
    </tableColumn>
    <tableColumn id="6" uniqueName="CounterpartPassport" name="Nomor Passport">
      <xmlColumnPr mapId="6" xpath="/MmPayrollBulk/ListOfMmPayroll/MmPayroll/CounterpartPassport" xmlDataType="string"/>
    </tableColumn>
    <tableColumn id="8" uniqueName="StatusTaxExemption" name="Status" dataDxfId="5">
      <xmlColumnPr mapId="6" xpath="/MmPayrollBulk/ListOfMmPayroll/MmPayroll/StatusTaxExemption" xmlDataType="string"/>
    </tableColumn>
    <tableColumn id="9" uniqueName="Position" name="Posisi">
      <xmlColumnPr mapId="6" xpath="/MmPayrollBulk/ListOfMmPayroll/MmPayroll/Position" xmlDataType="string"/>
    </tableColumn>
    <tableColumn id="10" uniqueName="TaxCertificate" name="Sertifikat/Fasilitas" dataDxfId="4">
      <xmlColumnPr mapId="6" xpath="/MmPayrollBulk/ListOfMmPayroll/MmPayroll/TaxCertificate" xmlDataType="string"/>
    </tableColumn>
    <tableColumn id="11" uniqueName="TaxObjectCode" name="Kode Objek Pajak" dataDxfId="3">
      <xmlColumnPr mapId="6" xpath="/MmPayrollBulk/ListOfMmPayroll/MmPayroll/TaxObjectCode" xmlDataType="string"/>
    </tableColumn>
    <tableColumn id="12" uniqueName="Gross" name="Penghasilan Kotor">
      <xmlColumnPr mapId="6" xpath="/MmPayrollBulk/ListOfMmPayroll/MmPayroll/Gross" xmlDataType="decimal"/>
    </tableColumn>
    <tableColumn id="16" uniqueName="Rate" name="Tarif" dataDxfId="2">
      <calculatedColumnFormula>IF(OR(G5="TK/0",G5="TK/1",G5="K/0",G5="HB/0",G5="HB/1"),P5,IF(OR(G5="TK/2",G5="TK/3",G5="K/1",G5="K/2",G5="HB/2",G5="HB/3"),Q5,R5))</calculatedColumnFormula>
      <xmlColumnPr mapId="6" xpath="/MmPayrollBulk/ListOfMmPayroll/MmPayroll/Rate" xmlDataType="decimal"/>
    </tableColumn>
    <tableColumn id="13" uniqueName="IDPlaceOfBusinessActivity" name="ID TKU" dataDxfId="1">
      <xmlColumnPr mapId="6" xpath="/MmPayrollBulk/ListOfMmPayroll/MmPayroll/IDPlaceOfBusinessActivity" xmlDataType="string"/>
    </tableColumn>
    <tableColumn id="15" uniqueName="WithholdingDate" name="Tgl Pemotongan" dataDxfId="0">
      <xmlColumnPr mapId="6" xpath="/MmPayrollBulk/ListOfMmPayroll/MmPayroll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4" r="B1" connectionId="0">
    <xmlCellPr id="1" uniqueName="TIN">
      <xmlPr mapId="6" xpath="/MmPayroll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B1" zoomScaleNormal="100" workbookViewId="0">
      <selection activeCell="E11" sqref="E11"/>
    </sheetView>
  </sheetViews>
  <sheetFormatPr defaultRowHeight="15" x14ac:dyDescent="0.25"/>
  <cols>
    <col min="1" max="1" width="17.42578125" bestFit="1" customWidth="1"/>
    <col min="2" max="2" width="24.5703125" bestFit="1" customWidth="1"/>
    <col min="3" max="3" width="67.85546875" bestFit="1" customWidth="1"/>
    <col min="4" max="4" width="23.42578125" bestFit="1" customWidth="1"/>
    <col min="5" max="5" width="100.7109375" customWidth="1"/>
    <col min="6" max="6" width="105.28515625" bestFit="1" customWidth="1"/>
  </cols>
  <sheetData>
    <row r="1" spans="1:6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 spans="1:6" x14ac:dyDescent="0.25">
      <c r="A2" t="s">
        <v>0</v>
      </c>
      <c r="B2" t="s">
        <v>33</v>
      </c>
      <c r="C2" t="s">
        <v>34</v>
      </c>
      <c r="D2" s="5" t="s">
        <v>83</v>
      </c>
      <c r="E2" s="9" t="s">
        <v>35</v>
      </c>
    </row>
    <row r="3" spans="1:6" x14ac:dyDescent="0.25">
      <c r="A3" t="s">
        <v>1</v>
      </c>
      <c r="B3" t="s">
        <v>36</v>
      </c>
      <c r="C3" t="s">
        <v>37</v>
      </c>
      <c r="D3" s="5">
        <v>2</v>
      </c>
      <c r="E3" s="5" t="s">
        <v>85</v>
      </c>
    </row>
    <row r="4" spans="1:6" x14ac:dyDescent="0.25">
      <c r="A4" t="s">
        <v>2</v>
      </c>
      <c r="B4" t="s">
        <v>38</v>
      </c>
      <c r="C4" t="s">
        <v>37</v>
      </c>
      <c r="D4" s="5">
        <v>2026</v>
      </c>
      <c r="E4" s="5" t="s">
        <v>85</v>
      </c>
    </row>
    <row r="5" spans="1:6" x14ac:dyDescent="0.25">
      <c r="A5" t="s">
        <v>3</v>
      </c>
      <c r="B5" t="s">
        <v>39</v>
      </c>
      <c r="C5" t="s">
        <v>40</v>
      </c>
      <c r="D5" s="6" t="s">
        <v>84</v>
      </c>
      <c r="E5" s="6" t="s">
        <v>85</v>
      </c>
    </row>
    <row r="6" spans="1:6" x14ac:dyDescent="0.25">
      <c r="A6" t="s">
        <v>4</v>
      </c>
      <c r="B6" t="s">
        <v>41</v>
      </c>
      <c r="C6" t="s">
        <v>42</v>
      </c>
      <c r="D6" s="5" t="s">
        <v>43</v>
      </c>
      <c r="E6" s="11" t="s">
        <v>44</v>
      </c>
    </row>
    <row r="7" spans="1:6" x14ac:dyDescent="0.25">
      <c r="A7" t="s">
        <v>5</v>
      </c>
      <c r="B7" t="s">
        <v>45</v>
      </c>
      <c r="C7" t="s">
        <v>46</v>
      </c>
      <c r="D7" s="5"/>
      <c r="E7" s="5" t="s">
        <v>85</v>
      </c>
    </row>
    <row r="8" spans="1:6" x14ac:dyDescent="0.25">
      <c r="A8" t="s">
        <v>6</v>
      </c>
      <c r="B8" t="s">
        <v>47</v>
      </c>
      <c r="C8" t="s">
        <v>48</v>
      </c>
      <c r="D8" s="6" t="s">
        <v>26</v>
      </c>
      <c r="E8" s="6" t="s">
        <v>85</v>
      </c>
    </row>
    <row r="9" spans="1:6" x14ac:dyDescent="0.25">
      <c r="A9" t="s">
        <v>7</v>
      </c>
      <c r="B9" t="s">
        <v>49</v>
      </c>
      <c r="C9" t="s">
        <v>50</v>
      </c>
      <c r="D9" s="6" t="s">
        <v>51</v>
      </c>
      <c r="E9" s="6" t="s">
        <v>85</v>
      </c>
    </row>
    <row r="10" spans="1:6" x14ac:dyDescent="0.25">
      <c r="A10" t="s">
        <v>8</v>
      </c>
      <c r="B10" t="s">
        <v>52</v>
      </c>
      <c r="C10" t="s">
        <v>53</v>
      </c>
      <c r="D10" s="5" t="s">
        <v>19</v>
      </c>
      <c r="E10" s="5" t="s">
        <v>85</v>
      </c>
    </row>
    <row r="11" spans="1:6" x14ac:dyDescent="0.25">
      <c r="A11" t="s">
        <v>9</v>
      </c>
      <c r="B11" t="s">
        <v>54</v>
      </c>
      <c r="C11" t="s">
        <v>55</v>
      </c>
      <c r="D11" s="5" t="s">
        <v>20</v>
      </c>
      <c r="E11" s="5" t="s">
        <v>85</v>
      </c>
    </row>
    <row r="12" spans="1:6" x14ac:dyDescent="0.25">
      <c r="A12" t="s">
        <v>10</v>
      </c>
      <c r="B12" t="s">
        <v>56</v>
      </c>
      <c r="C12" t="s">
        <v>57</v>
      </c>
      <c r="D12" s="6">
        <v>10000000</v>
      </c>
      <c r="E12" s="6" t="s">
        <v>85</v>
      </c>
    </row>
    <row r="13" spans="1:6" x14ac:dyDescent="0.25">
      <c r="A13" t="s">
        <v>11</v>
      </c>
      <c r="B13" t="s">
        <v>58</v>
      </c>
      <c r="C13" t="s">
        <v>59</v>
      </c>
      <c r="D13" s="5">
        <v>2</v>
      </c>
      <c r="E13" s="9" t="s">
        <v>60</v>
      </c>
      <c r="F13" t="s">
        <v>61</v>
      </c>
    </row>
    <row r="14" spans="1:6" x14ac:dyDescent="0.25">
      <c r="A14" t="s">
        <v>12</v>
      </c>
      <c r="B14" t="s">
        <v>62</v>
      </c>
      <c r="C14" t="s">
        <v>63</v>
      </c>
      <c r="D14" s="5" t="s">
        <v>64</v>
      </c>
      <c r="E14" s="5" t="s">
        <v>85</v>
      </c>
    </row>
    <row r="15" spans="1:6" x14ac:dyDescent="0.25">
      <c r="A15" t="s">
        <v>13</v>
      </c>
      <c r="B15" t="s">
        <v>65</v>
      </c>
      <c r="C15" t="s">
        <v>66</v>
      </c>
      <c r="D15" s="7">
        <v>45673</v>
      </c>
      <c r="E15" s="10" t="s">
        <v>67</v>
      </c>
      <c r="F15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topLeftCell="F1" zoomScaleNormal="100" workbookViewId="0">
      <selection activeCell="M5" sqref="M5:N10"/>
    </sheetView>
  </sheetViews>
  <sheetFormatPr defaultRowHeight="15" x14ac:dyDescent="0.25"/>
  <cols>
    <col min="1" max="1" width="20" customWidth="1"/>
    <col min="2" max="2" width="17.28515625" bestFit="1" customWidth="1"/>
    <col min="3" max="3" width="13.85546875" bestFit="1" customWidth="1"/>
    <col min="4" max="4" width="16.7109375" bestFit="1" customWidth="1"/>
    <col min="5" max="5" width="25.42578125" customWidth="1"/>
    <col min="6" max="6" width="17.5703125" bestFit="1" customWidth="1"/>
    <col min="7" max="7" width="8.7109375" bestFit="1" customWidth="1"/>
    <col min="8" max="8" width="10.5703125" bestFit="1" customWidth="1"/>
    <col min="9" max="9" width="19.7109375" bestFit="1" customWidth="1"/>
    <col min="10" max="10" width="18.85546875" bestFit="1" customWidth="1"/>
    <col min="11" max="11" width="19.5703125" bestFit="1" customWidth="1"/>
    <col min="12" max="12" width="7.28515625" bestFit="1" customWidth="1"/>
    <col min="13" max="13" width="24.5703125" bestFit="1" customWidth="1"/>
    <col min="14" max="14" width="17.7109375" bestFit="1" customWidth="1"/>
    <col min="16" max="16" width="10.5703125" bestFit="1" customWidth="1"/>
    <col min="18" max="18" width="10.5703125" bestFit="1" customWidth="1"/>
  </cols>
  <sheetData>
    <row r="1" spans="1:22" x14ac:dyDescent="0.25">
      <c r="A1" t="s">
        <v>0</v>
      </c>
      <c r="B1" s="3"/>
    </row>
    <row r="4" spans="1:2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P4" t="s">
        <v>14</v>
      </c>
      <c r="Q4" t="s">
        <v>15</v>
      </c>
      <c r="R4" t="s">
        <v>16</v>
      </c>
    </row>
    <row r="5" spans="1:22" x14ac:dyDescent="0.25">
      <c r="D5" s="1"/>
      <c r="E5" s="3"/>
      <c r="F5" s="1"/>
      <c r="G5" s="1"/>
      <c r="H5" s="1"/>
      <c r="I5" s="1"/>
      <c r="J5" s="1"/>
      <c r="L5" s="8">
        <f>IF(OR(G5="TK/0",G5="TK/1",G5="K/0",G5="HB/0",G5="HB/1"),P5,IF(OR(G5="TK/2",G5="TK/3",G5="K/1",G5="K/2",G5="HB/2",G5="HB/3"),Q5,R5))</f>
        <v>0</v>
      </c>
      <c r="M5" s="3"/>
      <c r="N5" s="2"/>
      <c r="P5" s="12">
        <f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0</v>
      </c>
      <c r="Q5" s="12">
        <f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0</v>
      </c>
      <c r="R5" s="12">
        <f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0</v>
      </c>
      <c r="S5" s="12"/>
      <c r="T5" s="12"/>
      <c r="U5" s="12"/>
      <c r="V5" s="13"/>
    </row>
    <row r="6" spans="1:22" x14ac:dyDescent="0.25">
      <c r="D6" s="1"/>
      <c r="E6" s="3"/>
      <c r="F6" s="1"/>
      <c r="G6" s="1"/>
      <c r="H6" s="1"/>
      <c r="I6" s="1"/>
      <c r="J6" s="1"/>
      <c r="L6" s="8">
        <f t="shared" ref="L6:L10" si="0">IF(OR(G6="TK/0",G6="TK/1",G6="K/0",G6="HB/0",G6="HB/1"),P6,IF(OR(G6="TK/2",G6="TK/3",G6="K/1",G6="K/2",G6="HB/2",G6="HB/3"),Q6,R6))</f>
        <v>0</v>
      </c>
      <c r="M6" s="3"/>
      <c r="N6" s="2"/>
      <c r="P6" s="12">
        <f t="shared" ref="P6:P10" si="1">IF(K6&lt;=5400000,0,IF(AND(K6&gt;5400000,K6&lt;=5650000),0.25,IF(AND(K6&gt;5650000,K6&lt;=5950000),0.5,IF(AND(K6&gt;5950000,K6&lt;=6300000),0.75,IF(AND(K6&gt;6300000,K6&lt;=6750000),1,IF(AND(K6&gt;6750000,K6&lt;=7500000),1.25,IF(AND(K6&gt;7500000,K6&lt;=8550000),1.5,IF(AND(K6&gt;8550000,K6&lt;=9650000),1.75,IF(AND(K6&gt;9650000,K6&lt;=10050000),2,IF(AND(K6&gt;10050000,K6&lt;=10350000),2.25,IF(AND(K6&gt;10350000,K6&lt;=10700000),2.5,IF(AND(K6&gt;10700000,K6&lt;=11050000),3,IF(AND(K6&gt;11050000,K6&lt;=11600000),3.5,IF(AND(K6&gt;11600000,K6&lt;=12500000),4,IF(AND(K6&gt;12500000,K6&lt;=13750000),5,IF(AND(K6&gt;13750000,K6&lt;=15100000),6,IF(AND(K6&gt;15100000,K6&lt;=16950000),7,IF(AND(K6&gt;16950000,K6&lt;=19750000),8,IF(AND(K6&gt;19750000,K6&lt;=24150000),9,IF(AND(K6&gt;24150000,K6&lt;=26450000),10,IF(AND(K6&gt;26450000,K6&lt;=28000000),11,IF(AND(K6&gt;28000000,K6&lt;=30050000),12,IF(AND(K6&gt;30050000,K6&lt;=32400000),13,IF(AND(K6&gt;32400000,K6&lt;=35400000),14,IF(AND(K6&gt;35400000,K6&lt;=39100000),15,IF(AND(K6&gt;39100000,K6&lt;=43850000),16,IF(AND(K6&gt;43850000,K6&lt;=47800000),17,IF(AND(K6&gt;47800000,K6&lt;=51400000),18,IF(AND(K6&gt;51400000,K6&lt;=56300000),19,IF(AND(K6&gt;56300000,K6&lt;=62200000),20,IF(AND(K6&gt;62200000,K6&lt;=68600000),21,IF(AND(K6&gt;68600000,K6&lt;=77500000),22,IF(AND(K6&gt;77500000,K6&lt;=89000000),23,IF(AND(K6&gt;89000000,K6&lt;=103000000),24,IF(AND(K6&gt;103000000,K6&lt;=125000000),25,IF(AND(K6&gt;125000000,K6&lt;=157000000),26,IF(AND(K6&gt;157000000,K6&lt;=206000000),27,IF(AND(K6&gt;206000000,K6&lt;=337000000),28,IF(AND(K6&gt;337000000,K6&lt;=454000000),29,IF(AND(K6&gt;454000000,K6&lt;=550000000),30,IF(AND(K6&gt;550000000,K6&lt;=695000000),31,IF(AND(K6&gt;695000000,K6&lt;=910000000),32,IF(AND(K6&gt;910000000,K6&lt;=1400000000),33,34)))))))))))))))))))))))))))))))))))))))))))</f>
        <v>0</v>
      </c>
      <c r="Q6" s="12">
        <f t="shared" ref="Q6:Q10" si="2">IF(K6&lt;=6200000,0,IF(AND(K6&gt;6200000,K6&lt;=6500000),0.25,IF(AND(K6&gt;6500000,K6&lt;=6850000),0.5,IF(AND(K6&gt;6850000,K6&lt;=7300000),0.75,IF(AND(K6&gt;7300000,K6&lt;=9200000),1,IF(AND(K6&gt;9200000,K6&lt;=10750000),1.5,IF(AND(K6&gt;10750000,K6&lt;=11250000),2,IF(AND(K6&gt;11250000,K6&lt;=11600000),2.5,IF(AND(K6&gt;11600000,K6&lt;=12600000),3,IF(AND(K6&gt;12600000,K6&lt;=13600000),4,IF(AND(K6&gt;13600000,K6&lt;=14950000),5,IF(AND(K6&gt;14950000,K6&lt;=16400000),6,IF(AND(K6&gt;16400000,K6&lt;=18450000),7,IF(AND(K6&gt;18450000,K6&lt;=21850000),8,IF(AND(K6&gt;21850000,K6&lt;=26000000),9,IF(AND(K6&gt;26000000,K6&lt;=27700000),10,IF(AND(K6&gt;27700000,K6&lt;=29350000),11,IF(AND(K6&gt;29350000,K6&lt;=31450000),12,IF(AND(K6&gt;31450000,K6&lt;=33950000),13,IF(AND(K6&gt;33950000,K6&lt;=37100000),14,IF(AND(K6&gt;37100000,K6&lt;=41100000),15,IF(AND(K6&gt;41100000,K6&lt;=45800000),16,IF(AND(K6&gt;45800000,K6&lt;=49500000),17,IF(AND(K6&gt;49500000,K6&lt;=53800000),18,IF(AND(K6&gt;53800000,K6&lt;=58500000),19,IF(AND(K6&gt;58500000,K6&lt;=64000000),20,IF(AND(K6&gt;64000000,K6&lt;=71000000),21,IF(AND(K6&gt;71000000,K6&lt;=80000000),22,IF(AND(K6&gt;80000000,K6&lt;=93000000),23,IF(AND(K6&gt;93000000,K6&lt;=109000000),24,IF(AND(K6&gt;109000000,K6&lt;=129000000),25,IF(AND(K6&gt;129000000,K6&lt;=163000000),26,IF(AND(K6&gt;163000000,K6&lt;=211000000),27,IF(AND(K6&gt;211000000,K6&lt;=374000000),28,IF(AND(K6&gt;374000000,K6&lt;=459000000),29,IF(AND(K6&gt;459000000,K6&lt;=555000000),30,IF(AND(K6&gt;555000000,K6&lt;=704000000),31,IF(AND(K6&gt;704000000,K6&lt;=957000000),32,IF(AND(K6&gt;957000000,K6&lt;=1405000000),33,34)))))))))))))))))))))))))))))))))))))))</f>
        <v>0</v>
      </c>
      <c r="R6" s="12">
        <f t="shared" ref="R6:R10" si="3">IF(K6&lt;=6600000,0,IF(AND(K6&gt;6600000,K6&lt;=6950000),0.25,IF(AND(K6&gt;6950000,K6&lt;=7350000),0.5,IF(AND(K6&gt;7350000,K6&lt;=7800000),0.75,IF(AND(K6&gt;7800000,K6&lt;=8850000),1,IF(AND(K6&gt;8850000,K6&lt;=9800000),1.25,IF(AND(K6&gt;9800000,K6&lt;=10950000),1.5,IF(AND(K6&gt;10950000,K6&lt;=11200000),1.75,IF(AND(K6&gt;11200000,K6&lt;=12050000),2,IF(AND(K6&gt;12050000,K6&lt;=12950000),3,IF(AND(K6&gt;12950000,K6&lt;=14150000),4,IF(AND(K6&gt;14150000,K6&lt;=15550000),5,IF(AND(K6&gt;15550000,K6&lt;=17050000),6,IF(AND(K6&gt;17050000,K6&lt;=19500000),7,IF(AND(K6&gt;19500000,K6&lt;=22700000),8,IF(AND(K6&gt;22700000,K6&lt;=26600000),9,IF(AND(K6&gt;26600000,K6&lt;=28100000),10,IF(AND(K6&gt;28100000,K6&lt;=30100000),11,IF(AND(K6&gt;30100000,K6&lt;=32600000),12,IF(AND(K6&gt;32600000,K6&lt;=35400000),13,IF(AND(K6&gt;35400000,K6&lt;=38900000),14,IF(AND(K6&gt;38900000,K6&lt;=43000000),15,IF(AND(K6&gt;43000000,K6&lt;=47400000),16,IF(AND(K6&gt;47400000,K6&lt;=51200000),17,IF(AND(K6&gt;51200000,K6&lt;=55800000),18,IF(AND(K6&gt;55800000,K6&lt;=60400000),19,IF(AND(K6&gt;60400000,K6&lt;=66700000),20,IF(AND(K6&gt;66700000,K6&lt;=74500000),21,IF(AND(K6&gt;74500000,K6&lt;=83200000),22,IF(AND(K6&gt;83200000,K6&lt;=95600000),23,IF(AND(K6&gt;95600000,K6&lt;=110000000),24,IF(AND(K6&gt;110000000,K6&lt;=134000000),25,IF(AND(K6&gt;134000000,K6&lt;=169000000),26,IF(AND(K6&gt;169000000,K6&lt;=221000000),27,IF(AND(K6&gt;221000000,K6&lt;=390000000),28,IF(AND(K6&gt;390000000,K6&lt;=463000000),29,IF(AND(K6&gt;463000000,K6&lt;=561000000),30,IF(AND(K6&gt;561000000,K6&lt;=709000000),31,IF(AND(K6&gt;709000000,K6&lt;=965000000),32,IF(AND(K6&gt;965000000,K6&lt;=1419000000),33,34))))))))))))))))))))))))))))))))))))))))</f>
        <v>0</v>
      </c>
      <c r="S6" s="12"/>
      <c r="T6" s="12"/>
      <c r="U6" s="12"/>
      <c r="V6" s="13"/>
    </row>
    <row r="7" spans="1:22" x14ac:dyDescent="0.25">
      <c r="D7" s="1"/>
      <c r="E7" s="3"/>
      <c r="F7" s="1"/>
      <c r="G7" s="1"/>
      <c r="H7" s="1"/>
      <c r="I7" s="1"/>
      <c r="J7" s="1"/>
      <c r="L7" s="8">
        <f t="shared" si="0"/>
        <v>0</v>
      </c>
      <c r="M7" s="3"/>
      <c r="N7" s="2"/>
      <c r="P7" s="12">
        <f t="shared" si="1"/>
        <v>0</v>
      </c>
      <c r="Q7" s="12">
        <f t="shared" si="2"/>
        <v>0</v>
      </c>
      <c r="R7" s="12">
        <f t="shared" si="3"/>
        <v>0</v>
      </c>
      <c r="S7" s="12"/>
      <c r="T7" s="12"/>
      <c r="U7" s="12"/>
      <c r="V7" s="13"/>
    </row>
    <row r="8" spans="1:22" x14ac:dyDescent="0.25">
      <c r="D8" s="1"/>
      <c r="E8" s="3"/>
      <c r="F8" s="1"/>
      <c r="G8" s="1"/>
      <c r="H8" s="1"/>
      <c r="I8" s="1"/>
      <c r="J8" s="1"/>
      <c r="L8" s="8">
        <f t="shared" si="0"/>
        <v>0</v>
      </c>
      <c r="M8" s="3"/>
      <c r="N8" s="2"/>
      <c r="P8" s="12">
        <f t="shared" si="1"/>
        <v>0</v>
      </c>
      <c r="Q8" s="12">
        <f t="shared" si="2"/>
        <v>0</v>
      </c>
      <c r="R8" s="12">
        <f t="shared" si="3"/>
        <v>0</v>
      </c>
      <c r="S8" s="12"/>
      <c r="T8" s="12"/>
      <c r="U8" s="12"/>
      <c r="V8" s="13"/>
    </row>
    <row r="9" spans="1:22" x14ac:dyDescent="0.25">
      <c r="D9" s="1"/>
      <c r="E9" s="3"/>
      <c r="F9" s="1"/>
      <c r="G9" s="1"/>
      <c r="H9" s="1"/>
      <c r="I9" s="1"/>
      <c r="J9" s="1"/>
      <c r="L9" s="8">
        <f t="shared" si="0"/>
        <v>0</v>
      </c>
      <c r="M9" s="3"/>
      <c r="N9" s="2"/>
      <c r="P9" s="12">
        <f t="shared" si="1"/>
        <v>0</v>
      </c>
      <c r="Q9" s="12">
        <f t="shared" si="2"/>
        <v>0</v>
      </c>
      <c r="R9" s="12">
        <f t="shared" si="3"/>
        <v>0</v>
      </c>
      <c r="S9" s="12"/>
      <c r="T9" s="12"/>
      <c r="U9" s="12"/>
      <c r="V9" s="13"/>
    </row>
    <row r="10" spans="1:22" x14ac:dyDescent="0.25">
      <c r="D10" s="1"/>
      <c r="E10" s="3"/>
      <c r="F10" s="1"/>
      <c r="G10" s="1"/>
      <c r="H10" s="1"/>
      <c r="I10" s="1"/>
      <c r="J10" s="1"/>
      <c r="L10" s="8">
        <f t="shared" si="0"/>
        <v>0</v>
      </c>
      <c r="M10" s="3"/>
      <c r="N10" s="2"/>
      <c r="P10" s="12">
        <f t="shared" si="1"/>
        <v>0</v>
      </c>
      <c r="Q10" s="12">
        <f t="shared" si="2"/>
        <v>0</v>
      </c>
      <c r="R10" s="12">
        <f t="shared" si="3"/>
        <v>0</v>
      </c>
      <c r="S10" s="12"/>
      <c r="T10" s="12"/>
      <c r="U10" s="12"/>
      <c r="V10" s="13"/>
    </row>
  </sheetData>
  <dataValidations count="1">
    <dataValidation type="list" allowBlank="1" showInputMessage="1" showErrorMessage="1" sqref="J5:J10">
      <formula1>"21-100-01,21-100-02,21-100-32"</formula1>
    </dataValidation>
  </dataValidations>
  <pageMargins left="0.7" right="0.7" top="0.75" bottom="0.75" header="0.3" footer="0.3"/>
  <pageSetup orientation="portrait" r:id="rId1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REF!$C$2:$C$13</xm:f>
          </x14:formula1>
          <xm:sqref>G5:G10</xm:sqref>
        </x14:dataValidation>
        <x14:dataValidation type="list" allowBlank="1" showInputMessage="1" showErrorMessage="1">
          <x14:formula1>
            <xm:f>REF!$D$2:$D$4</xm:f>
          </x14:formula1>
          <xm:sqref>I5:I10</xm:sqref>
        </x14:dataValidation>
        <x14:dataValidation type="list" allowBlank="1" showInputMessage="1" showErrorMessage="1">
          <x14:formula1>
            <xm:f>REF!$B$2:$B$3</xm:f>
          </x14:formula1>
          <xm:sqref>D5:D10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workbookViewId="0">
      <selection activeCell="F5" sqref="F5"/>
    </sheetView>
  </sheetViews>
  <sheetFormatPr defaultRowHeight="15" x14ac:dyDescent="0.25"/>
  <cols>
    <col min="6" max="6" width="16.5703125" bestFit="1" customWidth="1"/>
    <col min="7" max="7" width="156.140625" bestFit="1" customWidth="1"/>
  </cols>
  <sheetData>
    <row r="1" spans="2:7" x14ac:dyDescent="0.25">
      <c r="F1" t="s">
        <v>9</v>
      </c>
      <c r="G1" t="s">
        <v>69</v>
      </c>
    </row>
    <row r="2" spans="2:7" x14ac:dyDescent="0.25">
      <c r="B2" t="s">
        <v>17</v>
      </c>
      <c r="C2" t="s">
        <v>18</v>
      </c>
      <c r="D2" t="s">
        <v>19</v>
      </c>
      <c r="F2" t="s">
        <v>20</v>
      </c>
      <c r="G2" t="s">
        <v>70</v>
      </c>
    </row>
    <row r="3" spans="2:7" x14ac:dyDescent="0.25">
      <c r="B3" t="s">
        <v>71</v>
      </c>
      <c r="C3" t="s">
        <v>25</v>
      </c>
      <c r="D3" t="s">
        <v>22</v>
      </c>
      <c r="F3" t="s">
        <v>72</v>
      </c>
      <c r="G3" t="s">
        <v>73</v>
      </c>
    </row>
    <row r="4" spans="2:7" x14ac:dyDescent="0.25">
      <c r="C4" t="s">
        <v>74</v>
      </c>
      <c r="D4" t="s">
        <v>24</v>
      </c>
      <c r="F4" t="s">
        <v>75</v>
      </c>
      <c r="G4" t="s">
        <v>76</v>
      </c>
    </row>
    <row r="5" spans="2:7" x14ac:dyDescent="0.25">
      <c r="C5" t="s">
        <v>26</v>
      </c>
    </row>
    <row r="6" spans="2:7" x14ac:dyDescent="0.25">
      <c r="C6" t="s">
        <v>77</v>
      </c>
    </row>
    <row r="7" spans="2:7" x14ac:dyDescent="0.25">
      <c r="C7" t="s">
        <v>78</v>
      </c>
    </row>
    <row r="8" spans="2:7" x14ac:dyDescent="0.25">
      <c r="C8" t="s">
        <v>21</v>
      </c>
    </row>
    <row r="9" spans="2:7" x14ac:dyDescent="0.25">
      <c r="C9" t="s">
        <v>23</v>
      </c>
    </row>
    <row r="10" spans="2:7" x14ac:dyDescent="0.25">
      <c r="C10" t="s">
        <v>79</v>
      </c>
    </row>
    <row r="11" spans="2:7" x14ac:dyDescent="0.25">
      <c r="C11" t="s">
        <v>80</v>
      </c>
    </row>
    <row r="12" spans="2:7" x14ac:dyDescent="0.25">
      <c r="C12" t="s">
        <v>81</v>
      </c>
    </row>
    <row r="13" spans="2:7" x14ac:dyDescent="0.25">
      <c r="C13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BPMP</vt:lpstr>
      <vt:lpstr>DATA</vt:lpstr>
      <vt:lpstr>REF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PAJAK</dc:creator>
  <cp:keywords/>
  <dc:description/>
  <cp:lastModifiedBy>Frederick Fabbi</cp:lastModifiedBy>
  <cp:revision/>
  <dcterms:created xsi:type="dcterms:W3CDTF">2023-02-03T06:28:27Z</dcterms:created>
  <dcterms:modified xsi:type="dcterms:W3CDTF">2026-08-14T02:13:07Z</dcterms:modified>
  <cp:category/>
  <cp:contentStatus/>
</cp:coreProperties>
</file>